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0cA6GPiLq9QHbXTOucNXs3PYsLssKHHdcdk9IvusJ4="/>
    </ext>
  </extLst>
</workbook>
</file>

<file path=xl/sharedStrings.xml><?xml version="1.0" encoding="utf-8"?>
<sst xmlns="http://schemas.openxmlformats.org/spreadsheetml/2006/main" count="37" uniqueCount="36">
  <si>
    <t>PROP-09-71</t>
  </si>
  <si>
    <t>Quito Juv, 10 de Octubre .</t>
  </si>
  <si>
    <t xml:space="preserve">NOMBRE: </t>
  </si>
  <si>
    <t>•CI/•RUC</t>
  </si>
  <si>
    <t xml:space="preserve">NÚMERO DE CONTACTO: </t>
  </si>
  <si>
    <t xml:space="preserve"> </t>
  </si>
  <si>
    <t>ASUNTO:</t>
  </si>
  <si>
    <t>COMPRA INTEGRAL DE CÁMARAS DE SEGURIDAD MARCA ELVIS E88</t>
  </si>
  <si>
    <t>Item</t>
  </si>
  <si>
    <t>Cant.</t>
  </si>
  <si>
    <t>Descripción</t>
  </si>
  <si>
    <t xml:space="preserve">Sub-Total </t>
  </si>
  <si>
    <t>Sub-Total 1</t>
  </si>
  <si>
    <t xml:space="preserve">BARRERA VEHICULAR DITEC DE ALTO TRAFICO 6M KIT CON INSTALACIÓN </t>
  </si>
  <si>
    <t xml:space="preserve">INCLUYE </t>
  </si>
  <si>
    <t>Barrera automática de 6m</t>
  </si>
  <si>
    <t>2 pulsadores de apertura.</t>
  </si>
  <si>
    <t>2 controles remotos.</t>
  </si>
  <si>
    <t>1 par de fotoceldas de seguridad para anticierre.</t>
  </si>
  <si>
    <t>• Instalación incluida.</t>
  </si>
  <si>
    <t xml:space="preserve">Envío y transporte </t>
  </si>
  <si>
    <t>DESCUENTO</t>
  </si>
  <si>
    <t xml:space="preserve">Sub-total Sin IVA </t>
  </si>
  <si>
    <t xml:space="preserve"> IVA</t>
  </si>
  <si>
    <t>TOTAL INC IVA</t>
  </si>
  <si>
    <t xml:space="preserve">  </t>
  </si>
  <si>
    <t>CONDICIONES COMERCIALES:</t>
  </si>
  <si>
    <t xml:space="preserve">PRECIO:                 USD </t>
  </si>
  <si>
    <t>ENTREGA:             Inmediata</t>
  </si>
  <si>
    <t>VALIDEZ:               15 Días</t>
  </si>
  <si>
    <t>FORMA DE PAGO:      70 % anticipo por acordar, 50 %   contra entrega.</t>
  </si>
  <si>
    <t>Atentamente</t>
  </si>
  <si>
    <t>Ven. Juan Pablo Morales</t>
  </si>
  <si>
    <t>ATOMIC</t>
  </si>
  <si>
    <t>Representante Técnico Comercial</t>
  </si>
  <si>
    <t xml:space="preserve">GARANTIA Y SOPORTE POR 1 AÑO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</si>
</sst>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_€_-;\-* #,##0.00\ _€_-;_-* &quot;-&quot;??\ _€_-;_-@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sz val="9.0"/>
      <color rgb="FF333333"/>
      <name val="Arial"/>
    </font>
    <font>
      <sz val="9.0"/>
      <color theme="1"/>
      <name val="Calibri"/>
    </font>
    <font>
      <color theme="1"/>
      <name val="Calibri"/>
    </font>
    <font>
      <sz val="9.0"/>
      <color rgb="FF000000"/>
      <name val="Arial"/>
    </font>
    <font>
      <b/>
      <sz val="9.0"/>
      <color rgb="FF000000"/>
      <name val="Arial"/>
    </font>
    <font>
      <sz val="11.0"/>
      <color rgb="FF080809"/>
      <name val="Calibri"/>
    </font>
    <font>
      <b/>
      <sz val="10.0"/>
      <color theme="1"/>
      <name val="Calibri"/>
    </font>
    <font>
      <sz val="10.0"/>
      <color theme="1"/>
      <name val="Calibri"/>
    </font>
    <font>
      <sz val="9.0"/>
      <color theme="1"/>
      <name val="Arial"/>
    </font>
    <font>
      <sz val="12.0"/>
      <color rgb="FF000000"/>
      <name val="Arial"/>
    </font>
    <font>
      <sz val="12.0"/>
      <color theme="1"/>
      <name val="Times New Roman"/>
    </font>
    <font>
      <sz val="10.0"/>
      <color rgb="FF000000"/>
      <name val="Times New Roman"/>
    </font>
    <font/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19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1" fillId="2" fontId="5" numFmtId="0" xfId="0" applyAlignment="1" applyBorder="1" applyFill="1" applyFont="1">
      <alignment vertical="center"/>
    </xf>
    <xf borderId="0" fillId="0" fontId="1" numFmtId="2" xfId="0" applyAlignment="1" applyFont="1" applyNumberFormat="1">
      <alignment horizontal="left" readingOrder="0" vertical="top"/>
    </xf>
    <xf borderId="0" fillId="0" fontId="4" numFmtId="0" xfId="0" applyAlignment="1" applyFont="1">
      <alignment readingOrder="0"/>
    </xf>
    <xf borderId="0" fillId="0" fontId="7" numFmtId="1" xfId="0" applyAlignment="1" applyFont="1" applyNumberFormat="1">
      <alignment horizontal="left" readingOrder="0"/>
    </xf>
    <xf borderId="0" fillId="0" fontId="7" numFmtId="1" xfId="0" applyAlignment="1" applyFont="1" applyNumberFormat="1">
      <alignment horizontal="left"/>
    </xf>
    <xf borderId="0" fillId="0" fontId="7" numFmtId="0" xfId="0" applyFont="1"/>
    <xf borderId="0" fillId="0" fontId="1" numFmtId="0" xfId="0" applyFont="1"/>
    <xf borderId="2" fillId="3" fontId="8" numFmtId="0" xfId="0" applyBorder="1" applyFill="1" applyFont="1"/>
    <xf borderId="3" fillId="3" fontId="8" numFmtId="0" xfId="0" applyBorder="1" applyFill="1" applyFont="1"/>
    <xf borderId="4" fillId="3" fontId="8" numFmtId="0" xfId="0" applyBorder="1" applyFill="1" applyFont="1"/>
    <xf borderId="0" fillId="0" fontId="9" numFmtId="0" xfId="0" applyFont="1"/>
    <xf borderId="5" fillId="0" fontId="5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5" fillId="4" fontId="10" numFmtId="164" xfId="0" applyAlignment="1" applyBorder="1" applyFill="1" applyFont="1" applyNumberFormat="1">
      <alignment horizontal="center" readingOrder="0"/>
    </xf>
    <xf borderId="5" fillId="0" fontId="5" numFmtId="164" xfId="0" applyAlignment="1" applyBorder="1" applyFont="1" applyNumberFormat="1">
      <alignment horizontal="center" shrinkToFit="0" vertical="center" wrapText="1"/>
    </xf>
    <xf borderId="5" fillId="4" fontId="10" numFmtId="0" xfId="0" applyAlignment="1" applyBorder="1" applyFill="1" applyFont="1">
      <alignment horizontal="center" vertical="center"/>
    </xf>
    <xf borderId="5" fillId="0" fontId="10" numFmtId="164" xfId="0" applyAlignment="1" applyBorder="1" applyFont="1" applyNumberFormat="1">
      <alignment horizontal="center"/>
    </xf>
    <xf borderId="5" fillId="4" fontId="10" numFmtId="164" xfId="0" applyAlignment="1" applyBorder="1" applyFill="1" applyFont="1" applyNumberFormat="1">
      <alignment horizontal="center"/>
    </xf>
    <xf borderId="0" fillId="0" fontId="11" numFmtId="0" xfId="0" applyAlignment="1" applyFont="1">
      <alignment vertical="center"/>
    </xf>
    <xf borderId="5" fillId="0" fontId="10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shrinkToFit="0" wrapText="1"/>
    </xf>
    <xf borderId="5" fillId="0" fontId="10" numFmtId="0" xfId="0" applyBorder="1" applyFont="1"/>
    <xf borderId="5" fillId="0" fontId="10" numFmtId="0" xfId="0" applyAlignment="1" applyBorder="1" applyFont="1">
      <alignment shrinkToFit="0" vertical="center" wrapText="1"/>
    </xf>
    <xf borderId="5" fillId="0" fontId="5" numFmtId="164" xfId="0" applyAlignment="1" applyBorder="1" applyFont="1" applyNumberFormat="1">
      <alignment horizontal="center" shrinkToFit="0" wrapText="1"/>
    </xf>
    <xf borderId="0" fillId="0" fontId="10" numFmtId="0" xfId="0" applyFont="1"/>
    <xf borderId="5" fillId="0" fontId="10" numFmtId="0" xfId="0" applyAlignment="1" applyBorder="1" applyFont="1">
      <alignment shrinkToFit="0" vertical="top" wrapText="1"/>
    </xf>
    <xf borderId="0" fillId="0" fontId="1" numFmtId="164" xfId="0" applyFont="1" applyNumberFormat="1"/>
    <xf borderId="6" fillId="0" fontId="5" numFmtId="0" xfId="0" applyAlignment="1" applyBorder="1" applyFont="1">
      <alignment horizontal="center" shrinkToFit="0" wrapText="1"/>
    </xf>
    <xf borderId="5" fillId="0" fontId="5" numFmtId="2" xfId="0" applyAlignment="1" applyBorder="1" applyFont="1" applyNumberFormat="1">
      <alignment horizontal="center" shrinkToFit="0" wrapText="1"/>
    </xf>
    <xf borderId="7" fillId="0" fontId="5" numFmtId="2" xfId="0" applyAlignment="1" applyBorder="1" applyFont="1" applyNumberFormat="1">
      <alignment horizontal="center" shrinkToFit="0" wrapText="1"/>
    </xf>
    <xf borderId="8" fillId="0" fontId="10" numFmtId="0" xfId="0" applyBorder="1" applyFont="1"/>
    <xf borderId="9" fillId="0" fontId="10" numFmtId="0" xfId="0" applyAlignment="1" applyBorder="1" applyFont="1">
      <alignment horizontal="center"/>
    </xf>
    <xf borderId="8" fillId="0" fontId="5" numFmtId="0" xfId="0" applyAlignment="1" applyBorder="1" applyFont="1">
      <alignment horizontal="center" shrinkToFit="0" wrapText="1"/>
    </xf>
    <xf borderId="5" fillId="0" fontId="5" numFmtId="2" xfId="0" applyAlignment="1" applyBorder="1" applyFont="1" applyNumberFormat="1">
      <alignment horizontal="right" shrinkToFit="0" wrapText="1"/>
    </xf>
    <xf borderId="9" fillId="0" fontId="5" numFmtId="2" xfId="0" applyAlignment="1" applyBorder="1" applyFont="1" applyNumberFormat="1">
      <alignment horizontal="center" shrinkToFit="0" wrapText="1"/>
    </xf>
    <xf borderId="0" fillId="0" fontId="13" numFmtId="0" xfId="0" applyAlignment="1" applyFont="1">
      <alignment horizontal="right" shrinkToFit="0" wrapText="1"/>
    </xf>
    <xf borderId="10" fillId="0" fontId="5" numFmtId="0" xfId="0" applyAlignment="1" applyBorder="1" applyFont="1">
      <alignment horizontal="center" shrinkToFit="0" wrapText="1"/>
    </xf>
    <xf borderId="10" fillId="0" fontId="10" numFmtId="0" xfId="0" applyAlignment="1" applyBorder="1" applyFont="1">
      <alignment shrinkToFit="0" vertical="top" wrapText="1"/>
    </xf>
    <xf borderId="10" fillId="0" fontId="5" numFmtId="2" xfId="0" applyAlignment="1" applyBorder="1" applyFont="1" applyNumberFormat="1">
      <alignment horizontal="right" shrinkToFit="0" wrapText="1"/>
    </xf>
    <xf borderId="5" fillId="0" fontId="1" numFmtId="0" xfId="0" applyBorder="1" applyFont="1"/>
    <xf borderId="5" fillId="0" fontId="1" numFmtId="0" xfId="0" applyAlignment="1" applyBorder="1" applyFont="1">
      <alignment horizontal="center"/>
    </xf>
    <xf borderId="8" fillId="5" fontId="1" numFmtId="0" xfId="0" applyAlignment="1" applyBorder="1" applyFill="1" applyFont="1">
      <alignment readingOrder="0"/>
    </xf>
    <xf borderId="11" fillId="0" fontId="14" numFmtId="0" xfId="0" applyBorder="1" applyFont="1"/>
    <xf borderId="9" fillId="0" fontId="14" numFmtId="0" xfId="0" applyBorder="1" applyFont="1"/>
    <xf borderId="12" fillId="5" fontId="1" numFmtId="2" xfId="0" applyAlignment="1" applyBorder="1" applyFill="1" applyFont="1" applyNumberFormat="1">
      <alignment horizontal="center"/>
    </xf>
    <xf borderId="13" fillId="3" fontId="15" numFmtId="0" xfId="0" applyBorder="1" applyFill="1" applyFont="1"/>
    <xf borderId="14" fillId="0" fontId="14" numFmtId="0" xfId="0" applyBorder="1" applyFont="1"/>
    <xf borderId="15" fillId="0" fontId="14" numFmtId="0" xfId="0" applyBorder="1" applyFont="1"/>
    <xf borderId="5" fillId="3" fontId="9" numFmtId="2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vertical="center"/>
    </xf>
    <xf borderId="16" fillId="3" fontId="15" numFmtId="0" xfId="0" applyBorder="1" applyFill="1" applyFont="1"/>
    <xf borderId="17" fillId="0" fontId="14" numFmtId="0" xfId="0" applyBorder="1" applyFont="1"/>
    <xf borderId="18" fillId="0" fontId="14" numFmtId="0" xfId="0" applyBorder="1" applyFont="1"/>
    <xf borderId="5" fillId="3" fontId="4" numFmtId="2" xfId="0" applyAlignment="1" applyBorder="1" applyFill="1" applyFont="1" applyNumberFormat="1">
      <alignment horizontal="center"/>
    </xf>
    <xf borderId="8" fillId="3" fontId="4" numFmtId="0" xfId="0" applyBorder="1" applyFill="1" applyFont="1"/>
    <xf borderId="5" fillId="3" fontId="15" numFmtId="2" xfId="0" applyAlignment="1" applyBorder="1" applyFill="1" applyFont="1" applyNumberFormat="1">
      <alignment horizontal="center"/>
    </xf>
    <xf borderId="5" fillId="0" fontId="4" numFmtId="0" xfId="0" applyBorder="1" applyFont="1"/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45</xdr:row>
      <xdr:rowOff>28575</xdr:rowOff>
    </xdr:from>
    <xdr:ext cx="914400" cy="476250"/>
    <xdr:pic>
      <xdr:nvPicPr>
        <xdr:cNvPr descr="xl/media/image1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685800</xdr:colOff>
      <xdr:row>0</xdr:row>
      <xdr:rowOff>0</xdr:rowOff>
    </xdr:from>
    <xdr:ext cx="1981200" cy="6572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23</xdr:row>
      <xdr:rowOff>171450</xdr:rowOff>
    </xdr:from>
    <xdr:ext cx="4286250" cy="1304925"/>
    <xdr:pic>
      <xdr:nvPicPr>
        <xdr:cNvPr id="0" name="image2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5.0"/>
    <col customWidth="1" min="3" max="3" width="52.14"/>
    <col customWidth="1" min="4" max="4" width="12.57"/>
    <col customWidth="1" min="5" max="5" width="14.86"/>
    <col customWidth="1" min="6" max="10" width="9.14"/>
    <col customWidth="1" min="11" max="11" width="10.43"/>
    <col customWidth="1" min="12" max="26" width="9.14"/>
  </cols>
  <sheetData>
    <row r="1">
      <c r="E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E2" s="4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1" t="s">
        <v>1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8" t="s">
        <v>2</v>
      </c>
      <c r="D7" s="4" t="s">
        <v>3</v>
      </c>
      <c r="E7" s="9">
        <v>1.717375651E9</v>
      </c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10" t="s">
        <v>4</v>
      </c>
      <c r="B8" s="11"/>
      <c r="C8" s="11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12"/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C11" s="13" t="s">
        <v>5</v>
      </c>
      <c r="G11" s="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1" t="s">
        <v>6</v>
      </c>
      <c r="C12" s="4" t="s">
        <v>7</v>
      </c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14" t="s">
        <v>8</v>
      </c>
      <c r="B14" s="15" t="s">
        <v>9</v>
      </c>
      <c r="C14" s="15" t="s">
        <v>10</v>
      </c>
      <c r="D14" s="15" t="s">
        <v>11</v>
      </c>
      <c r="E14" s="16" t="s">
        <v>12</v>
      </c>
      <c r="F14" s="17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17"/>
      <c r="X14" s="17"/>
      <c r="Y14" s="17"/>
      <c r="Z14" s="17"/>
    </row>
    <row r="15" ht="18.0" customHeight="1">
      <c r="A15" s="18">
        <v>1.0</v>
      </c>
      <c r="B15" s="18">
        <v>1.0</v>
      </c>
      <c r="C15" s="19" t="s">
        <v>13</v>
      </c>
      <c r="D15" s="20">
        <v>1200.0</v>
      </c>
      <c r="E15" s="21">
        <f>D15*B15</f>
        <v>1200</v>
      </c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22"/>
      <c r="B16" s="22"/>
      <c r="C16" s="19" t="s">
        <v>14</v>
      </c>
      <c r="D16" s="23"/>
      <c r="E16" s="24"/>
      <c r="G16" s="25"/>
    </row>
    <row r="17">
      <c r="A17" s="18"/>
      <c r="B17" s="18"/>
      <c r="C17" s="19" t="s">
        <v>15</v>
      </c>
      <c r="D17" s="26"/>
      <c r="E17" s="21"/>
      <c r="G17" s="27"/>
    </row>
    <row r="18">
      <c r="A18" s="28"/>
      <c r="B18" s="29"/>
      <c r="C18" s="30" t="s">
        <v>16</v>
      </c>
      <c r="D18" s="23"/>
      <c r="E18" s="23"/>
    </row>
    <row r="19" ht="15.0" customHeight="1">
      <c r="A19" s="31"/>
      <c r="B19" s="31"/>
      <c r="C19" s="30" t="s">
        <v>17</v>
      </c>
      <c r="D19" s="26"/>
      <c r="E19" s="21"/>
    </row>
    <row r="20">
      <c r="A20" s="29"/>
      <c r="B20" s="29"/>
      <c r="C20" s="30" t="s">
        <v>18</v>
      </c>
      <c r="D20" s="23"/>
      <c r="E20" s="23"/>
    </row>
    <row r="21" ht="15.75" customHeight="1">
      <c r="A21" s="32"/>
      <c r="B21" s="29"/>
      <c r="C21" s="33" t="s">
        <v>19</v>
      </c>
      <c r="D21" s="23"/>
      <c r="E21" s="34"/>
    </row>
    <row r="22" ht="15.75" customHeight="1">
      <c r="A22" s="32"/>
      <c r="B22" s="32"/>
      <c r="C22" s="35" t="s">
        <v>20</v>
      </c>
      <c r="D22" s="23">
        <v>45.0</v>
      </c>
      <c r="E22" s="23"/>
    </row>
    <row r="23" ht="15.75" customHeight="1">
      <c r="A23" s="31"/>
      <c r="B23" s="31"/>
      <c r="C23" s="36"/>
      <c r="D23" s="34"/>
      <c r="E23" s="34"/>
    </row>
    <row r="24" ht="15.75" customHeight="1">
      <c r="A24" s="32"/>
      <c r="B24" s="32"/>
      <c r="C24" s="36"/>
      <c r="D24" s="29"/>
      <c r="E24" s="29"/>
      <c r="K24" s="37"/>
    </row>
    <row r="25" ht="15.75" customHeight="1">
      <c r="A25" s="38"/>
      <c r="B25" s="31"/>
      <c r="C25" s="36"/>
      <c r="D25" s="39"/>
      <c r="E25" s="40"/>
    </row>
    <row r="26" ht="15.75" customHeight="1">
      <c r="A26" s="41"/>
      <c r="B26" s="32"/>
      <c r="C26" s="36"/>
      <c r="D26" s="29"/>
      <c r="E26" s="42"/>
    </row>
    <row r="27" ht="15.75" customHeight="1">
      <c r="A27" s="43"/>
      <c r="B27" s="31"/>
      <c r="C27" s="36"/>
      <c r="D27" s="44"/>
      <c r="E27" s="45"/>
    </row>
    <row r="28" ht="15.75" customHeight="1">
      <c r="A28" s="41"/>
      <c r="B28" s="32"/>
      <c r="C28" s="36"/>
      <c r="D28" s="32"/>
      <c r="E28" s="42"/>
      <c r="F28" s="46"/>
    </row>
    <row r="29" ht="15.0" customHeight="1">
      <c r="A29" s="31"/>
      <c r="B29" s="47"/>
      <c r="C29" s="48"/>
      <c r="D29" s="49"/>
      <c r="E29" s="39"/>
      <c r="F29" s="46"/>
    </row>
    <row r="30" ht="15.75" customHeight="1">
      <c r="A30" s="31"/>
      <c r="B30" s="31"/>
      <c r="C30" s="32"/>
      <c r="D30" s="26"/>
      <c r="E30" s="21"/>
      <c r="F30" s="46"/>
    </row>
    <row r="31" ht="15.75" customHeight="1">
      <c r="A31" s="50"/>
      <c r="B31" s="50"/>
      <c r="C31" s="50"/>
      <c r="D31" s="50"/>
      <c r="E31" s="51"/>
      <c r="F31" s="46"/>
    </row>
    <row r="32" ht="15.75" customHeight="1">
      <c r="A32" s="52" t="s">
        <v>21</v>
      </c>
      <c r="B32" s="53"/>
      <c r="C32" s="53"/>
      <c r="D32" s="54"/>
      <c r="E32" s="55"/>
      <c r="F32" s="46"/>
    </row>
    <row r="33" ht="15.75" customHeight="1">
      <c r="A33" s="56" t="s">
        <v>22</v>
      </c>
      <c r="B33" s="57"/>
      <c r="C33" s="57"/>
      <c r="D33" s="58"/>
      <c r="E33" s="59">
        <f>(E15+E16+E17+E18+E19+E20+E21)</f>
        <v>1200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1" t="s">
        <v>23</v>
      </c>
      <c r="B34" s="62"/>
      <c r="C34" s="62"/>
      <c r="D34" s="63"/>
      <c r="E34" s="64">
        <f>(E33-E32)/100*15</f>
        <v>180</v>
      </c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5" t="s">
        <v>24</v>
      </c>
      <c r="B35" s="53"/>
      <c r="C35" s="53"/>
      <c r="D35" s="54"/>
      <c r="E35" s="66">
        <f>E33-E32+E34</f>
        <v>1380</v>
      </c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E37" s="67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60"/>
      <c r="C38" s="60"/>
      <c r="D38" s="60" t="s">
        <v>25</v>
      </c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1.25" customHeight="1">
      <c r="A39" s="60" t="s">
        <v>26</v>
      </c>
      <c r="B39" s="60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2.0" customHeight="1">
      <c r="A40" s="60" t="s">
        <v>27</v>
      </c>
      <c r="B40" s="60"/>
      <c r="C40" s="17"/>
      <c r="D40" s="17"/>
      <c r="E40" s="17" t="s">
        <v>5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60" t="s">
        <v>28</v>
      </c>
      <c r="B41" s="60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3.5" customHeight="1">
      <c r="A42" s="60" t="s">
        <v>29</v>
      </c>
      <c r="B42" s="60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60" t="s">
        <v>30</v>
      </c>
    </row>
    <row r="44" ht="8.25" customHeight="1"/>
    <row r="45" ht="15.75" customHeight="1">
      <c r="A45" s="4" t="s">
        <v>31</v>
      </c>
    </row>
    <row r="46" ht="15.75" customHeight="1"/>
    <row r="47" ht="15.75" customHeight="1"/>
    <row r="48" ht="15.75" customHeight="1"/>
    <row r="49" ht="15.75" customHeight="1">
      <c r="A49" s="68" t="s">
        <v>32</v>
      </c>
    </row>
    <row r="50" ht="15.75" customHeight="1">
      <c r="A50" s="17" t="s">
        <v>33</v>
      </c>
    </row>
    <row r="51" ht="15.75" customHeight="1">
      <c r="A51" s="17" t="s">
        <v>34</v>
      </c>
    </row>
    <row r="52" ht="15.75" customHeight="1">
      <c r="A52" s="17"/>
    </row>
    <row r="53" ht="15.75" customHeight="1">
      <c r="C53" s="13"/>
    </row>
    <row r="54" ht="15.75" customHeight="1">
      <c r="C54" s="4" t="s">
        <v>35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C69" s="1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>
      <c r="C77" s="13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7:C7"/>
    <mergeCell ref="A32:D32"/>
    <mergeCell ref="A33:D33"/>
    <mergeCell ref="A34:D34"/>
    <mergeCell ref="A35:D35"/>
    <mergeCell ref="A49:C49"/>
  </mergeCells>
  <printOptions/>
  <pageMargins bottom="1.14" footer="0.0" header="0.0" left="0.98" right="0.2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2018-09-26T12:39:31Z</dcterms:created>
  <dc:creator>SANTIAGO GUZMAN</dc:creator>
</cp:coreProperties>
</file>